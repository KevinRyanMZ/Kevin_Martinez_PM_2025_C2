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drax\Desktop\"/>
    </mc:Choice>
  </mc:AlternateContent>
  <xr:revisionPtr revIDLastSave="0" documentId="8_{96F94452-C6A3-420D-8990-1D63CE8F9986}" xr6:coauthVersionLast="47" xr6:coauthVersionMax="47" xr10:uidLastSave="{00000000-0000-0000-0000-000000000000}"/>
  <bookViews>
    <workbookView xWindow="28680" yWindow="-120" windowWidth="29040" windowHeight="15720" xr2:uid="{DC23469E-CF0C-4CE5-8ED2-E1B984807E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L2" i="1"/>
  <c r="K6" i="1"/>
  <c r="K5" i="1"/>
  <c r="L4" i="1"/>
  <c r="L3" i="1"/>
  <c r="K3" i="1"/>
  <c r="K4" i="1"/>
  <c r="C10" i="1"/>
  <c r="C3" i="1"/>
  <c r="H4" i="1" s="1"/>
  <c r="H5" i="1"/>
  <c r="H3" i="1" l="1"/>
</calcChain>
</file>

<file path=xl/sharedStrings.xml><?xml version="1.0" encoding="utf-8"?>
<sst xmlns="http://schemas.openxmlformats.org/spreadsheetml/2006/main" count="36" uniqueCount="29">
  <si>
    <t xml:space="preserve">km x galon </t>
  </si>
  <si>
    <t>Ciudad</t>
  </si>
  <si>
    <t>Carretera</t>
  </si>
  <si>
    <t>Costo Gomas</t>
  </si>
  <si>
    <t>Seguro</t>
  </si>
  <si>
    <t>Combustible</t>
  </si>
  <si>
    <t>Mantenimiento</t>
  </si>
  <si>
    <t>Costo del Vehiculo</t>
  </si>
  <si>
    <t>Corolla 2018</t>
  </si>
  <si>
    <t>Toyota</t>
  </si>
  <si>
    <t>km/L</t>
  </si>
  <si>
    <t>1 Galon</t>
  </si>
  <si>
    <t>Litros</t>
  </si>
  <si>
    <t>1 Litro</t>
  </si>
  <si>
    <t>Km/G</t>
  </si>
  <si>
    <t>Duracion de goma</t>
  </si>
  <si>
    <t>km</t>
  </si>
  <si>
    <t>Año</t>
  </si>
  <si>
    <t>Depreciación</t>
  </si>
  <si>
    <t>Km por año</t>
  </si>
  <si>
    <t>Vida Util</t>
  </si>
  <si>
    <t>10 años</t>
  </si>
  <si>
    <t>Galon</t>
  </si>
  <si>
    <t>Viaje</t>
  </si>
  <si>
    <t>km/dia</t>
  </si>
  <si>
    <t>Gasto de Combustible Carretera</t>
  </si>
  <si>
    <t>Gasto de Combustible Ciudad</t>
  </si>
  <si>
    <t>Gomas</t>
  </si>
  <si>
    <t>Gasto total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</si>
</sst>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9A9F-9CD9-4058-89BE-5AB19589A6A0}">
  <dimension ref="B1:L10"/>
  <sheetViews>
    <sheetView tabSelected="1" topLeftCell="B1" zoomScale="175" zoomScaleNormal="175" workbookViewId="0">
      <selection activeCell="J16" sqref="J16"/>
    </sheetView>
  </sheetViews>
  <sheetFormatPr baseColWidth="10" defaultRowHeight="15" x14ac:dyDescent="0.25"/>
  <cols>
    <col min="1" max="1" width="17.42578125" customWidth="1"/>
    <col min="2" max="2" width="16.42578125" customWidth="1"/>
    <col min="10" max="10" width="29.85546875" customWidth="1"/>
  </cols>
  <sheetData>
    <row r="1" spans="2:12" x14ac:dyDescent="0.25">
      <c r="B1" t="s">
        <v>9</v>
      </c>
      <c r="C1" t="s">
        <v>8</v>
      </c>
      <c r="K1" t="s">
        <v>16</v>
      </c>
    </row>
    <row r="2" spans="2:12" x14ac:dyDescent="0.25">
      <c r="B2" t="s">
        <v>11</v>
      </c>
      <c r="C2">
        <v>3.7850000000000001</v>
      </c>
      <c r="D2" t="s">
        <v>12</v>
      </c>
      <c r="G2" t="s">
        <v>10</v>
      </c>
      <c r="H2" t="s">
        <v>14</v>
      </c>
      <c r="J2" t="s">
        <v>23</v>
      </c>
      <c r="K2">
        <v>150</v>
      </c>
      <c r="L2">
        <f>150/C10</f>
        <v>3.2205882352941178</v>
      </c>
    </row>
    <row r="3" spans="2:12" x14ac:dyDescent="0.25">
      <c r="B3" t="s">
        <v>13</v>
      </c>
      <c r="C3">
        <f>1/C2</f>
        <v>0.26420079260237778</v>
      </c>
      <c r="D3" t="s">
        <v>22</v>
      </c>
      <c r="E3" s="2" t="s">
        <v>0</v>
      </c>
      <c r="F3" s="2" t="s">
        <v>1</v>
      </c>
      <c r="G3">
        <v>15.6</v>
      </c>
      <c r="H3">
        <f>+G3/C3</f>
        <v>59.046000000000006</v>
      </c>
      <c r="J3" t="s">
        <v>25</v>
      </c>
      <c r="K3">
        <f>0.7*K2</f>
        <v>105</v>
      </c>
      <c r="L3">
        <f>+(K3/H4)*G7</f>
        <v>352.25746404173032</v>
      </c>
    </row>
    <row r="4" spans="2:12" x14ac:dyDescent="0.25">
      <c r="E4" s="2" t="s">
        <v>0</v>
      </c>
      <c r="F4" s="2" t="s">
        <v>2</v>
      </c>
      <c r="G4">
        <v>21.46</v>
      </c>
      <c r="H4">
        <f>+G4/C3</f>
        <v>81.226100000000017</v>
      </c>
      <c r="J4" t="s">
        <v>26</v>
      </c>
      <c r="K4">
        <f>0.3*K2</f>
        <v>45</v>
      </c>
      <c r="L4">
        <f>+(K4/H3)*G7</f>
        <v>207.6770653388883</v>
      </c>
    </row>
    <row r="5" spans="2:12" x14ac:dyDescent="0.25">
      <c r="B5" t="s">
        <v>15</v>
      </c>
      <c r="C5">
        <v>40000</v>
      </c>
      <c r="D5" t="s">
        <v>16</v>
      </c>
      <c r="E5" s="3" t="s">
        <v>3</v>
      </c>
      <c r="F5" s="3"/>
      <c r="G5">
        <v>5200</v>
      </c>
      <c r="H5">
        <f>+G5*5</f>
        <v>26000</v>
      </c>
      <c r="J5" t="s">
        <v>27</v>
      </c>
      <c r="K5">
        <f>+(K2/C5)*H5</f>
        <v>97.5</v>
      </c>
    </row>
    <row r="6" spans="2:12" x14ac:dyDescent="0.25">
      <c r="B6" t="s">
        <v>6</v>
      </c>
      <c r="C6">
        <v>10000</v>
      </c>
      <c r="D6" t="s">
        <v>16</v>
      </c>
      <c r="E6" s="3" t="s">
        <v>4</v>
      </c>
      <c r="F6" s="3"/>
      <c r="G6">
        <v>22000</v>
      </c>
      <c r="H6" t="s">
        <v>17</v>
      </c>
      <c r="J6" t="s">
        <v>4</v>
      </c>
      <c r="K6">
        <f>+(G6/365)*L2</f>
        <v>194.11764705882354</v>
      </c>
    </row>
    <row r="7" spans="2:12" x14ac:dyDescent="0.25">
      <c r="B7" t="s">
        <v>18</v>
      </c>
      <c r="C7" s="4">
        <v>7.0000000000000007E-2</v>
      </c>
      <c r="D7" t="s">
        <v>17</v>
      </c>
      <c r="E7" s="3" t="s">
        <v>5</v>
      </c>
      <c r="F7" s="3"/>
      <c r="G7">
        <v>272.5</v>
      </c>
      <c r="H7">
        <v>224.8</v>
      </c>
      <c r="J7" t="s">
        <v>6</v>
      </c>
      <c r="K7">
        <f>+(K2/10000)*G8</f>
        <v>37.5</v>
      </c>
    </row>
    <row r="8" spans="2:12" x14ac:dyDescent="0.25">
      <c r="B8" t="s">
        <v>19</v>
      </c>
      <c r="C8">
        <v>17000</v>
      </c>
      <c r="E8" s="3" t="s">
        <v>6</v>
      </c>
      <c r="F8" s="3"/>
      <c r="G8">
        <v>2500</v>
      </c>
      <c r="J8" t="s">
        <v>28</v>
      </c>
      <c r="K8" s="1">
        <f>+K7+K6+K5+L4+L3</f>
        <v>889.05217643944206</v>
      </c>
      <c r="L8" s="1"/>
    </row>
    <row r="9" spans="2:12" x14ac:dyDescent="0.25">
      <c r="B9" t="s">
        <v>20</v>
      </c>
      <c r="C9" t="s">
        <v>21</v>
      </c>
      <c r="E9" s="3" t="s">
        <v>7</v>
      </c>
      <c r="F9" s="3"/>
      <c r="G9">
        <v>900000</v>
      </c>
    </row>
    <row r="10" spans="2:12" x14ac:dyDescent="0.25">
      <c r="B10" t="s">
        <v>24</v>
      </c>
      <c r="C10">
        <f>+C8/365</f>
        <v>46.575342465753423</v>
      </c>
    </row>
  </sheetData>
  <mergeCells count="6">
    <mergeCell ref="E5:F5"/>
    <mergeCell ref="E6:F6"/>
    <mergeCell ref="E7:F7"/>
    <mergeCell ref="E8:F8"/>
    <mergeCell ref="E9:F9"/>
    <mergeCell ref="K8:L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Damián De los Santos Sánchez</dc:creator>
  <cp:lastModifiedBy>Pedro Damián De los Santos Sánchez</cp:lastModifiedBy>
  <dcterms:created xsi:type="dcterms:W3CDTF">2025-08-13T22:25:41Z</dcterms:created>
  <dcterms:modified xsi:type="dcterms:W3CDTF">2025-08-13T23:06:42Z</dcterms:modified>
</cp:coreProperties>
</file>